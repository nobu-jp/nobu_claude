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通帳" sheetId="2" state="visible" r:id="rId2"/>
    <sheet name="在庫_ebay" sheetId="3" state="visible" r:id="rId3"/>
    <sheet name="在庫_返品catawiki" sheetId="4" state="visible" r:id="rId4"/>
  </sheets>
  <definedNames>
    <definedName name="_xlnm._FilterDatabase" localSheetId="1" hidden="1">'通帳'!$A$1:$H$29</definedName>
    <definedName name="_xlnm._FilterDatabase" localSheetId="2" hidden="1">'在庫_ebay'!$A$1:$N$21</definedName>
    <definedName name="_xlnm._FilterDatabase" localSheetId="3" hidden="1">'在庫_返品catawiki'!$A$1:$G$3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</cols>
  <sheetData>
    <row r="1">
      <c r="A1" s="1" t="inlineStr">
        <is>
          <t>ワールドドリーム 通帳追加分・在庫 サマリー</t>
        </is>
      </c>
    </row>
    <row r="3">
      <c r="A3" s="1" t="inlineStr">
        <is>
          <t>■ 通帳（ゆうちょ 通常貯金）</t>
        </is>
      </c>
    </row>
    <row r="4">
      <c r="A4" t="inlineStr">
        <is>
          <t>期間</t>
        </is>
      </c>
      <c r="B4" t="inlineStr">
        <is>
          <t>2026-02-27 〜 2026-08-19</t>
        </is>
      </c>
    </row>
    <row r="5">
      <c r="A5" t="inlineStr">
        <is>
          <t>明細行数</t>
        </is>
      </c>
      <c r="B5" s="2" t="n">
        <v>28</v>
      </c>
    </row>
    <row r="6">
      <c r="A6" t="inlineStr">
        <is>
          <t>繰越残高（逆算）</t>
        </is>
      </c>
      <c r="B6" s="3" t="n">
        <v>844391</v>
      </c>
    </row>
    <row r="7">
      <c r="A7" t="inlineStr">
        <is>
          <t>入金合計</t>
        </is>
      </c>
      <c r="B7" s="3" t="n">
        <v>1691361</v>
      </c>
    </row>
    <row r="8">
      <c r="A8" t="inlineStr">
        <is>
          <t>出金合計</t>
        </is>
      </c>
      <c r="B8" s="3" t="n">
        <v>2279175</v>
      </c>
    </row>
    <row r="9">
      <c r="A9" t="inlineStr">
        <is>
          <t>最終残高</t>
        </is>
      </c>
      <c r="B9" s="4" t="n">
        <v>256577</v>
      </c>
    </row>
    <row r="10">
      <c r="A10" t="inlineStr">
        <is>
          <t>残高検算</t>
        </is>
      </c>
      <c r="B10" t="inlineStr">
        <is>
          <t>全行OK（不整合なし）</t>
        </is>
      </c>
    </row>
    <row r="12">
      <c r="A12" s="1" t="inlineStr">
        <is>
          <t>■ 摘要別内訳</t>
        </is>
      </c>
    </row>
    <row r="13">
      <c r="A13" s="5" t="inlineStr">
        <is>
          <t>摘要 / 相手先</t>
        </is>
      </c>
      <c r="B13" s="5" t="inlineStr">
        <is>
          <t>件数</t>
        </is>
      </c>
      <c r="C13" s="5" t="inlineStr">
        <is>
          <t>金額</t>
        </is>
      </c>
    </row>
    <row r="14">
      <c r="A14" t="inlineStr">
        <is>
          <t>自払 / オリコ</t>
        </is>
      </c>
      <c r="B14" s="2" t="n">
        <v>6</v>
      </c>
      <c r="C14" s="3" t="n">
        <v>2275985</v>
      </c>
    </row>
    <row r="15">
      <c r="A15" t="inlineStr">
        <is>
          <t>振込 / パイオニア ジヤパン</t>
        </is>
      </c>
      <c r="B15" s="2" t="n">
        <v>13</v>
      </c>
      <c r="C15" s="3" t="n">
        <v>1070755</v>
      </c>
    </row>
    <row r="16">
      <c r="A16" t="inlineStr">
        <is>
          <t>カード / セブンイレブンシヨウ</t>
        </is>
      </c>
      <c r="B16" s="2" t="n">
        <v>3</v>
      </c>
      <c r="C16" s="3" t="n">
        <v>590000</v>
      </c>
    </row>
    <row r="17">
      <c r="A17" t="inlineStr">
        <is>
          <t>振込 / カード</t>
        </is>
      </c>
      <c r="B17" s="2" t="n">
        <v>1</v>
      </c>
      <c r="C17" s="3" t="n">
        <v>30000</v>
      </c>
    </row>
    <row r="18">
      <c r="A18" t="inlineStr">
        <is>
          <t>自払 / ライフカード カブ</t>
        </is>
      </c>
      <c r="B18" s="2" t="n">
        <v>1</v>
      </c>
      <c r="C18" s="3" t="n">
        <v>2200</v>
      </c>
    </row>
    <row r="19">
      <c r="A19" t="inlineStr">
        <is>
          <t>手数料 / ATM手数料</t>
        </is>
      </c>
      <c r="B19" s="2" t="n">
        <v>3</v>
      </c>
      <c r="C19" s="3" t="n">
        <v>990</v>
      </c>
    </row>
    <row r="20">
      <c r="A20" t="inlineStr">
        <is>
          <t>利子 / 受取利子606</t>
        </is>
      </c>
      <c r="B20" s="2" t="n">
        <v>1</v>
      </c>
      <c r="C20" s="3" t="n">
        <v>606</v>
      </c>
    </row>
    <row r="22">
      <c r="A22" s="1" t="inlineStr">
        <is>
          <t>■ 在庫</t>
        </is>
      </c>
    </row>
    <row r="23">
      <c r="A23" s="5" t="inlineStr">
        <is>
          <t>区分</t>
        </is>
      </c>
      <c r="B23" s="5" t="inlineStr">
        <is>
          <t>点数</t>
        </is>
      </c>
      <c r="C23" s="5" t="inlineStr">
        <is>
          <t>仕入金額</t>
        </is>
      </c>
    </row>
    <row r="24">
      <c r="A24" t="inlineStr">
        <is>
          <t>ebay 購入済在庫</t>
        </is>
      </c>
      <c r="B24" s="2" t="n">
        <v>20</v>
      </c>
      <c r="C24" s="3" t="n">
        <v>11870</v>
      </c>
    </row>
    <row r="25">
      <c r="A25" t="inlineStr">
        <is>
          <t>返品在庫（catawiki）</t>
        </is>
      </c>
      <c r="B25" s="2" t="n">
        <v>2</v>
      </c>
      <c r="C25" s="3" t="n">
        <v>2261</v>
      </c>
    </row>
    <row r="26">
      <c r="A26" s="5" t="inlineStr">
        <is>
          <t>合計</t>
        </is>
      </c>
      <c r="B26" s="6" t="n">
        <v>22</v>
      </c>
      <c r="C26" s="4" t="n">
        <v>14131</v>
      </c>
    </row>
    <row r="28">
      <c r="A28" s="1" t="inlineStr">
        <is>
          <t>■ ebay在庫 仕入月別</t>
        </is>
      </c>
    </row>
    <row r="29">
      <c r="A29" s="5" t="inlineStr">
        <is>
          <t>年月</t>
        </is>
      </c>
      <c r="B29" s="5" t="inlineStr">
        <is>
          <t>点数</t>
        </is>
      </c>
      <c r="C29" s="5" t="inlineStr">
        <is>
          <t>金額</t>
        </is>
      </c>
    </row>
    <row r="30">
      <c r="A30" t="inlineStr">
        <is>
          <t>2025-12</t>
        </is>
      </c>
      <c r="B30" s="2" t="n">
        <v>1</v>
      </c>
      <c r="C30" s="3" t="n">
        <v>3000</v>
      </c>
    </row>
    <row r="31">
      <c r="A31" t="inlineStr">
        <is>
          <t>2026-01</t>
        </is>
      </c>
      <c r="B31" s="2" t="n">
        <v>1</v>
      </c>
      <c r="C31" s="3" t="n">
        <v>400</v>
      </c>
    </row>
    <row r="32">
      <c r="A32" t="inlineStr">
        <is>
          <t>2026-03</t>
        </is>
      </c>
      <c r="B32" s="2" t="n">
        <v>9</v>
      </c>
      <c r="C32" s="3" t="n">
        <v>5610</v>
      </c>
    </row>
    <row r="33">
      <c r="A33" t="inlineStr">
        <is>
          <t>2026-06</t>
        </is>
      </c>
      <c r="B33" s="2" t="n">
        <v>9</v>
      </c>
      <c r="C33" s="3" t="n">
        <v>2860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9" customWidth="1" min="4" max="4"/>
    <col width="28" customWidth="1" min="5" max="5"/>
    <col width="9" customWidth="1" min="6" max="6"/>
    <col width="9" customWidth="1" min="7" max="7"/>
    <col width="9" customWidth="1" min="8" max="8"/>
  </cols>
  <sheetData>
    <row r="1">
      <c r="A1" s="7" t="inlineStr">
        <is>
          <t>No</t>
        </is>
      </c>
      <c r="B1" s="7" t="inlineStr">
        <is>
          <t>ページ</t>
        </is>
      </c>
      <c r="C1" s="7" t="inlineStr">
        <is>
          <t>年月日</t>
        </is>
      </c>
      <c r="D1" s="7" t="inlineStr">
        <is>
          <t>摘要</t>
        </is>
      </c>
      <c r="E1" s="7" t="inlineStr">
        <is>
          <t>相手先・内容</t>
        </is>
      </c>
      <c r="F1" s="7" t="inlineStr">
        <is>
          <t>お預り金額</t>
        </is>
      </c>
      <c r="G1" s="7" t="inlineStr">
        <is>
          <t>お支払金額</t>
        </is>
      </c>
      <c r="H1" s="7" t="inlineStr">
        <is>
          <t>現在高</t>
        </is>
      </c>
    </row>
    <row r="2">
      <c r="A2" s="8" t="inlineStr">
        <is>
          <t>1</t>
        </is>
      </c>
      <c r="B2" s="8" t="inlineStr">
        <is>
          <t>2</t>
        </is>
      </c>
      <c r="C2" s="8" t="inlineStr">
        <is>
          <t>2026-02-27</t>
        </is>
      </c>
      <c r="D2" s="8" t="inlineStr">
        <is>
          <t>自払</t>
        </is>
      </c>
      <c r="E2" s="8" t="inlineStr">
        <is>
          <t>オリコ</t>
        </is>
      </c>
      <c r="F2" s="9" t="inlineStr"/>
      <c r="G2" s="9" t="n">
        <v>833218</v>
      </c>
      <c r="H2" s="9" t="n">
        <v>11173</v>
      </c>
    </row>
    <row r="3">
      <c r="A3" s="8" t="inlineStr">
        <is>
          <t>2</t>
        </is>
      </c>
      <c r="B3" s="8" t="inlineStr">
        <is>
          <t>2</t>
        </is>
      </c>
      <c r="C3" s="8" t="inlineStr">
        <is>
          <t>2026-02-27</t>
        </is>
      </c>
      <c r="D3" s="8" t="inlineStr">
        <is>
          <t>自払</t>
        </is>
      </c>
      <c r="E3" s="8" t="inlineStr">
        <is>
          <t>ライフカード カブ</t>
        </is>
      </c>
      <c r="F3" s="9" t="inlineStr"/>
      <c r="G3" s="9" t="n">
        <v>2200</v>
      </c>
      <c r="H3" s="9" t="n">
        <v>8973</v>
      </c>
    </row>
    <row r="4">
      <c r="A4" s="8" t="inlineStr">
        <is>
          <t>3</t>
        </is>
      </c>
      <c r="B4" s="8" t="inlineStr">
        <is>
          <t>2</t>
        </is>
      </c>
      <c r="C4" s="8" t="inlineStr">
        <is>
          <t>2026-02-27</t>
        </is>
      </c>
      <c r="D4" s="8" t="inlineStr">
        <is>
          <t>振込</t>
        </is>
      </c>
      <c r="E4" s="8" t="inlineStr">
        <is>
          <t>パイオニア ジヤパン</t>
        </is>
      </c>
      <c r="F4" s="9" t="n">
        <v>30522</v>
      </c>
      <c r="G4" s="9" t="inlineStr"/>
      <c r="H4" s="9" t="n">
        <v>39495</v>
      </c>
    </row>
    <row r="5">
      <c r="A5" s="8" t="inlineStr">
        <is>
          <t>4</t>
        </is>
      </c>
      <c r="B5" s="8" t="inlineStr">
        <is>
          <t>2</t>
        </is>
      </c>
      <c r="C5" s="8" t="inlineStr">
        <is>
          <t>2026-02-27</t>
        </is>
      </c>
      <c r="D5" s="8" t="inlineStr">
        <is>
          <t>振込</t>
        </is>
      </c>
      <c r="E5" s="8" t="inlineStr">
        <is>
          <t>パイオニア ジヤパン</t>
        </is>
      </c>
      <c r="F5" s="9" t="n">
        <v>69920</v>
      </c>
      <c r="G5" s="9" t="inlineStr"/>
      <c r="H5" s="9" t="n">
        <v>109415</v>
      </c>
    </row>
    <row r="6">
      <c r="A6" s="8" t="inlineStr">
        <is>
          <t>5</t>
        </is>
      </c>
      <c r="B6" s="8" t="inlineStr">
        <is>
          <t>2</t>
        </is>
      </c>
      <c r="C6" s="8" t="inlineStr">
        <is>
          <t>2026-03-02</t>
        </is>
      </c>
      <c r="D6" s="8" t="inlineStr">
        <is>
          <t>振込</t>
        </is>
      </c>
      <c r="E6" s="8" t="inlineStr">
        <is>
          <t>パイオニア ジヤパン</t>
        </is>
      </c>
      <c r="F6" s="9" t="n">
        <v>91293</v>
      </c>
      <c r="G6" s="9" t="inlineStr"/>
      <c r="H6" s="9" t="n">
        <v>200708</v>
      </c>
    </row>
    <row r="7">
      <c r="A7" s="8" t="inlineStr">
        <is>
          <t>6</t>
        </is>
      </c>
      <c r="B7" s="8" t="inlineStr">
        <is>
          <t>2</t>
        </is>
      </c>
      <c r="C7" s="8" t="inlineStr">
        <is>
          <t>2026-03-06</t>
        </is>
      </c>
      <c r="D7" s="8" t="inlineStr">
        <is>
          <t>振込</t>
        </is>
      </c>
      <c r="E7" s="8" t="inlineStr">
        <is>
          <t>パイオニア ジヤパン</t>
        </is>
      </c>
      <c r="F7" s="9" t="n">
        <v>135132</v>
      </c>
      <c r="G7" s="9" t="inlineStr"/>
      <c r="H7" s="9" t="n">
        <v>335840</v>
      </c>
    </row>
    <row r="8">
      <c r="A8" s="8" t="inlineStr">
        <is>
          <t>7</t>
        </is>
      </c>
      <c r="B8" s="8" t="inlineStr">
        <is>
          <t>2</t>
        </is>
      </c>
      <c r="C8" s="8" t="inlineStr">
        <is>
          <t>2026-03-10</t>
        </is>
      </c>
      <c r="D8" s="8" t="inlineStr">
        <is>
          <t>振込</t>
        </is>
      </c>
      <c r="E8" s="8" t="inlineStr">
        <is>
          <t>パイオニア ジヤパン</t>
        </is>
      </c>
      <c r="F8" s="9" t="n">
        <v>87762</v>
      </c>
      <c r="G8" s="9" t="inlineStr"/>
      <c r="H8" s="9" t="n">
        <v>423602</v>
      </c>
    </row>
    <row r="9">
      <c r="A9" s="8" t="inlineStr">
        <is>
          <t>8</t>
        </is>
      </c>
      <c r="B9" s="8" t="inlineStr">
        <is>
          <t>2</t>
        </is>
      </c>
      <c r="C9" s="8" t="inlineStr">
        <is>
          <t>2026-03-13</t>
        </is>
      </c>
      <c r="D9" s="8" t="inlineStr">
        <is>
          <t>振込</t>
        </is>
      </c>
      <c r="E9" s="8" t="inlineStr">
        <is>
          <t>パイオニア ジヤパン</t>
        </is>
      </c>
      <c r="F9" s="9" t="n">
        <v>146014</v>
      </c>
      <c r="G9" s="9" t="inlineStr"/>
      <c r="H9" s="9" t="n">
        <v>569616</v>
      </c>
    </row>
    <row r="10">
      <c r="A10" s="8" t="inlineStr">
        <is>
          <t>9</t>
        </is>
      </c>
      <c r="B10" s="8" t="inlineStr">
        <is>
          <t>2</t>
        </is>
      </c>
      <c r="C10" s="8" t="inlineStr">
        <is>
          <t>2026-03-16</t>
        </is>
      </c>
      <c r="D10" s="8" t="inlineStr">
        <is>
          <t>振込</t>
        </is>
      </c>
      <c r="E10" s="8" t="inlineStr">
        <is>
          <t>パイオニア ジヤパン</t>
        </is>
      </c>
      <c r="F10" s="9" t="n">
        <v>87205</v>
      </c>
      <c r="G10" s="9" t="inlineStr"/>
      <c r="H10" s="9" t="n">
        <v>656821</v>
      </c>
    </row>
    <row r="11">
      <c r="A11" s="8" t="inlineStr">
        <is>
          <t>10</t>
        </is>
      </c>
      <c r="B11" s="8" t="inlineStr">
        <is>
          <t>2</t>
        </is>
      </c>
      <c r="C11" s="8" t="inlineStr">
        <is>
          <t>2026-03-18</t>
        </is>
      </c>
      <c r="D11" s="8" t="inlineStr">
        <is>
          <t>振込</t>
        </is>
      </c>
      <c r="E11" s="8" t="inlineStr">
        <is>
          <t>パイオニア ジヤパン</t>
        </is>
      </c>
      <c r="F11" s="9" t="n">
        <v>77876</v>
      </c>
      <c r="G11" s="9" t="inlineStr"/>
      <c r="H11" s="9" t="n">
        <v>734697</v>
      </c>
    </row>
    <row r="12">
      <c r="A12" s="8" t="inlineStr">
        <is>
          <t>11</t>
        </is>
      </c>
      <c r="B12" s="8" t="inlineStr">
        <is>
          <t>2</t>
        </is>
      </c>
      <c r="C12" s="8" t="inlineStr">
        <is>
          <t>2026-03-27</t>
        </is>
      </c>
      <c r="D12" s="8" t="inlineStr">
        <is>
          <t>自払</t>
        </is>
      </c>
      <c r="E12" s="8" t="inlineStr">
        <is>
          <t>オリコ</t>
        </is>
      </c>
      <c r="F12" s="9" t="inlineStr"/>
      <c r="G12" s="9" t="n">
        <v>712792</v>
      </c>
      <c r="H12" s="9" t="n">
        <v>21905</v>
      </c>
    </row>
    <row r="13">
      <c r="A13" s="8" t="inlineStr">
        <is>
          <t>12</t>
        </is>
      </c>
      <c r="B13" s="8" t="inlineStr">
        <is>
          <t>2</t>
        </is>
      </c>
      <c r="C13" s="8" t="inlineStr">
        <is>
          <t>2026-03-30</t>
        </is>
      </c>
      <c r="D13" s="8" t="inlineStr">
        <is>
          <t>振込</t>
        </is>
      </c>
      <c r="E13" s="8" t="inlineStr">
        <is>
          <t>パイオニア ジヤパン</t>
        </is>
      </c>
      <c r="F13" s="9" t="n">
        <v>31262</v>
      </c>
      <c r="G13" s="9" t="inlineStr"/>
      <c r="H13" s="9" t="n">
        <v>53167</v>
      </c>
    </row>
    <row r="14">
      <c r="A14" s="8" t="inlineStr">
        <is>
          <t>13</t>
        </is>
      </c>
      <c r="B14" s="8" t="inlineStr">
        <is>
          <t>3</t>
        </is>
      </c>
      <c r="C14" s="8" t="inlineStr">
        <is>
          <t>2026-04-01</t>
        </is>
      </c>
      <c r="D14" s="8" t="inlineStr">
        <is>
          <t>利子</t>
        </is>
      </c>
      <c r="E14" s="8" t="inlineStr">
        <is>
          <t>受取利子606（利子715・税金109）</t>
        </is>
      </c>
      <c r="F14" s="9" t="n">
        <v>606</v>
      </c>
      <c r="G14" s="9" t="inlineStr"/>
      <c r="H14" s="9" t="n">
        <v>53773</v>
      </c>
    </row>
    <row r="15">
      <c r="A15" s="8" t="inlineStr">
        <is>
          <t>14</t>
        </is>
      </c>
      <c r="B15" s="8" t="inlineStr">
        <is>
          <t>3</t>
        </is>
      </c>
      <c r="C15" s="8" t="inlineStr">
        <is>
          <t>2026-04-13</t>
        </is>
      </c>
      <c r="D15" s="8" t="inlineStr">
        <is>
          <t>振込</t>
        </is>
      </c>
      <c r="E15" s="8" t="inlineStr">
        <is>
          <t>パイオニア ジヤパン</t>
        </is>
      </c>
      <c r="F15" s="9" t="n">
        <v>13662</v>
      </c>
      <c r="G15" s="9" t="inlineStr"/>
      <c r="H15" s="9" t="n">
        <v>67435</v>
      </c>
    </row>
    <row r="16">
      <c r="A16" s="8" t="inlineStr">
        <is>
          <t>15</t>
        </is>
      </c>
      <c r="B16" s="8" t="inlineStr">
        <is>
          <t>3</t>
        </is>
      </c>
      <c r="C16" s="8" t="inlineStr">
        <is>
          <t>2026-04-23</t>
        </is>
      </c>
      <c r="D16" s="8" t="inlineStr">
        <is>
          <t>カード</t>
        </is>
      </c>
      <c r="E16" s="8" t="inlineStr">
        <is>
          <t>セブンイレブンシヨウ（ATM預入）</t>
        </is>
      </c>
      <c r="F16" s="9" t="n">
        <v>400000</v>
      </c>
      <c r="G16" s="9" t="inlineStr"/>
      <c r="H16" s="9" t="n">
        <v>467435</v>
      </c>
    </row>
    <row r="17">
      <c r="A17" s="8" t="inlineStr">
        <is>
          <t>16</t>
        </is>
      </c>
      <c r="B17" s="8" t="inlineStr">
        <is>
          <t>3</t>
        </is>
      </c>
      <c r="C17" s="8" t="inlineStr">
        <is>
          <t>2026-04-23</t>
        </is>
      </c>
      <c r="D17" s="8" t="inlineStr">
        <is>
          <t>手数料</t>
        </is>
      </c>
      <c r="E17" s="8" t="inlineStr">
        <is>
          <t>ATM手数料</t>
        </is>
      </c>
      <c r="F17" s="9" t="inlineStr"/>
      <c r="G17" s="9" t="n">
        <v>330</v>
      </c>
      <c r="H17" s="9" t="n">
        <v>467105</v>
      </c>
    </row>
    <row r="18">
      <c r="A18" s="8" t="inlineStr">
        <is>
          <t>17</t>
        </is>
      </c>
      <c r="B18" s="8" t="inlineStr">
        <is>
          <t>3</t>
        </is>
      </c>
      <c r="C18" s="8" t="inlineStr">
        <is>
          <t>2026-04-26</t>
        </is>
      </c>
      <c r="D18" s="8" t="inlineStr">
        <is>
          <t>カード</t>
        </is>
      </c>
      <c r="E18" s="8" t="inlineStr">
        <is>
          <t>セブンイレブンシヨウ（ATM預入）</t>
        </is>
      </c>
      <c r="F18" s="9" t="n">
        <v>175000</v>
      </c>
      <c r="G18" s="9" t="inlineStr"/>
      <c r="H18" s="9" t="n">
        <v>642105</v>
      </c>
    </row>
    <row r="19">
      <c r="A19" s="8" t="inlineStr">
        <is>
          <t>18</t>
        </is>
      </c>
      <c r="B19" s="8" t="inlineStr">
        <is>
          <t>3</t>
        </is>
      </c>
      <c r="C19" s="8" t="inlineStr">
        <is>
          <t>2026-04-26</t>
        </is>
      </c>
      <c r="D19" s="8" t="inlineStr">
        <is>
          <t>手数料</t>
        </is>
      </c>
      <c r="E19" s="8" t="inlineStr">
        <is>
          <t>ATM手数料</t>
        </is>
      </c>
      <c r="F19" s="9" t="inlineStr"/>
      <c r="G19" s="9" t="n">
        <v>330</v>
      </c>
      <c r="H19" s="9" t="n">
        <v>641775</v>
      </c>
    </row>
    <row r="20">
      <c r="A20" s="8" t="inlineStr">
        <is>
          <t>19</t>
        </is>
      </c>
      <c r="B20" s="8" t="inlineStr">
        <is>
          <t>3</t>
        </is>
      </c>
      <c r="C20" s="8" t="inlineStr">
        <is>
          <t>2026-04-27</t>
        </is>
      </c>
      <c r="D20" s="8" t="inlineStr">
        <is>
          <t>自払</t>
        </is>
      </c>
      <c r="E20" s="8" t="inlineStr">
        <is>
          <t>オリコ</t>
        </is>
      </c>
      <c r="F20" s="9" t="inlineStr"/>
      <c r="G20" s="9" t="n">
        <v>628687</v>
      </c>
      <c r="H20" s="9" t="n">
        <v>13088</v>
      </c>
    </row>
    <row r="21">
      <c r="A21" s="8" t="inlineStr">
        <is>
          <t>20</t>
        </is>
      </c>
      <c r="B21" s="8" t="inlineStr">
        <is>
          <t>3</t>
        </is>
      </c>
      <c r="C21" s="8" t="inlineStr">
        <is>
          <t>2026-05-26</t>
        </is>
      </c>
      <c r="D21" s="8" t="inlineStr">
        <is>
          <t>振込</t>
        </is>
      </c>
      <c r="E21" s="8" t="inlineStr">
        <is>
          <t>パイオニア ジヤパン</t>
        </is>
      </c>
      <c r="F21" s="9" t="n">
        <v>9631</v>
      </c>
      <c r="G21" s="9" t="inlineStr"/>
      <c r="H21" s="9" t="n">
        <v>22719</v>
      </c>
    </row>
    <row r="22">
      <c r="A22" s="8" t="inlineStr">
        <is>
          <t>21</t>
        </is>
      </c>
      <c r="B22" s="8" t="inlineStr">
        <is>
          <t>3</t>
        </is>
      </c>
      <c r="C22" s="8" t="inlineStr">
        <is>
          <t>2026-05-26</t>
        </is>
      </c>
      <c r="D22" s="8" t="inlineStr">
        <is>
          <t>振込</t>
        </is>
      </c>
      <c r="E22" s="8" t="inlineStr">
        <is>
          <t>カード（01423）</t>
        </is>
      </c>
      <c r="F22" s="9" t="n">
        <v>30000</v>
      </c>
      <c r="G22" s="9" t="inlineStr"/>
      <c r="H22" s="9" t="n">
        <v>52719</v>
      </c>
    </row>
    <row r="23">
      <c r="A23" s="8" t="inlineStr">
        <is>
          <t>22</t>
        </is>
      </c>
      <c r="B23" s="8" t="inlineStr">
        <is>
          <t>3</t>
        </is>
      </c>
      <c r="C23" s="8" t="inlineStr">
        <is>
          <t>2026-05-27</t>
        </is>
      </c>
      <c r="D23" s="8" t="inlineStr">
        <is>
          <t>自払</t>
        </is>
      </c>
      <c r="E23" s="8" t="inlineStr">
        <is>
          <t>オリコ</t>
        </is>
      </c>
      <c r="F23" s="9" t="inlineStr"/>
      <c r="G23" s="9" t="n">
        <v>47898</v>
      </c>
      <c r="H23" s="9" t="n">
        <v>4821</v>
      </c>
    </row>
    <row r="24">
      <c r="A24" s="8" t="inlineStr">
        <is>
          <t>23</t>
        </is>
      </c>
      <c r="B24" s="8" t="inlineStr">
        <is>
          <t>4</t>
        </is>
      </c>
      <c r="C24" s="8" t="inlineStr">
        <is>
          <t>2026-06-29</t>
        </is>
      </c>
      <c r="D24" s="8" t="inlineStr">
        <is>
          <t>カード</t>
        </is>
      </c>
      <c r="E24" s="8" t="inlineStr">
        <is>
          <t>セブンイレブンシヨウ（ATM預入）</t>
        </is>
      </c>
      <c r="F24" s="9" t="n">
        <v>15000</v>
      </c>
      <c r="G24" s="9" t="inlineStr"/>
      <c r="H24" s="9" t="n">
        <v>19821</v>
      </c>
    </row>
    <row r="25">
      <c r="A25" s="8" t="inlineStr">
        <is>
          <t>24</t>
        </is>
      </c>
      <c r="B25" s="8" t="inlineStr">
        <is>
          <t>4</t>
        </is>
      </c>
      <c r="C25" s="8" t="inlineStr">
        <is>
          <t>2026-06-29</t>
        </is>
      </c>
      <c r="D25" s="8" t="inlineStr">
        <is>
          <t>手数料</t>
        </is>
      </c>
      <c r="E25" s="8" t="inlineStr">
        <is>
          <t>ATM手数料</t>
        </is>
      </c>
      <c r="F25" s="9" t="inlineStr"/>
      <c r="G25" s="9" t="n">
        <v>330</v>
      </c>
      <c r="H25" s="9" t="n">
        <v>19491</v>
      </c>
    </row>
    <row r="26">
      <c r="A26" s="8" t="inlineStr">
        <is>
          <t>25</t>
        </is>
      </c>
      <c r="B26" s="8" t="inlineStr">
        <is>
          <t>4</t>
        </is>
      </c>
      <c r="C26" s="8" t="inlineStr">
        <is>
          <t>2026-06-29</t>
        </is>
      </c>
      <c r="D26" s="8" t="inlineStr">
        <is>
          <t>自払</t>
        </is>
      </c>
      <c r="E26" s="8" t="inlineStr">
        <is>
          <t>オリコ</t>
        </is>
      </c>
      <c r="F26" s="9" t="inlineStr"/>
      <c r="G26" s="9" t="n">
        <v>15634</v>
      </c>
      <c r="H26" s="9" t="n">
        <v>3857</v>
      </c>
    </row>
    <row r="27">
      <c r="A27" s="8" t="inlineStr">
        <is>
          <t>26</t>
        </is>
      </c>
      <c r="B27" s="8" t="inlineStr">
        <is>
          <t>4</t>
        </is>
      </c>
      <c r="C27" s="8" t="inlineStr">
        <is>
          <t>2026-07-17</t>
        </is>
      </c>
      <c r="D27" s="8" t="inlineStr">
        <is>
          <t>振込</t>
        </is>
      </c>
      <c r="E27" s="8" t="inlineStr">
        <is>
          <t>パイオニア ジヤパン</t>
        </is>
      </c>
      <c r="F27" s="9" t="n">
        <v>146363</v>
      </c>
      <c r="G27" s="9" t="inlineStr"/>
      <c r="H27" s="9" t="n">
        <v>150220</v>
      </c>
    </row>
    <row r="28">
      <c r="A28" s="8" t="inlineStr">
        <is>
          <t>27</t>
        </is>
      </c>
      <c r="B28" s="8" t="inlineStr">
        <is>
          <t>4</t>
        </is>
      </c>
      <c r="C28" s="8" t="inlineStr">
        <is>
          <t>2026-07-27</t>
        </is>
      </c>
      <c r="D28" s="8" t="inlineStr">
        <is>
          <t>自払</t>
        </is>
      </c>
      <c r="E28" s="8" t="inlineStr">
        <is>
          <t>オリコ</t>
        </is>
      </c>
      <c r="F28" s="9" t="inlineStr"/>
      <c r="G28" s="9" t="n">
        <v>37756</v>
      </c>
      <c r="H28" s="9" t="n">
        <v>112464</v>
      </c>
    </row>
    <row r="29">
      <c r="A29" s="8" t="inlineStr">
        <is>
          <t>28</t>
        </is>
      </c>
      <c r="B29" s="8" t="inlineStr">
        <is>
          <t>4</t>
        </is>
      </c>
      <c r="C29" s="8" t="inlineStr">
        <is>
          <t>2026-08-19</t>
        </is>
      </c>
      <c r="D29" s="8" t="inlineStr">
        <is>
          <t>振込</t>
        </is>
      </c>
      <c r="E29" s="8" t="inlineStr">
        <is>
          <t>パイオニア ジヤパン</t>
        </is>
      </c>
      <c r="F29" s="9" t="n">
        <v>144113</v>
      </c>
      <c r="G29" s="9" t="inlineStr"/>
      <c r="H29" s="9" t="n">
        <v>256577</v>
      </c>
    </row>
    <row r="31">
      <c r="D31" s="5" t="inlineStr">
        <is>
          <t>合計</t>
        </is>
      </c>
      <c r="E31" s="4">
        <f>SUM(E2:E29)</f>
        <v/>
      </c>
      <c r="F31" s="4">
        <f>SUM(F2:F29)</f>
        <v/>
      </c>
    </row>
    <row r="32">
      <c r="D32" s="5" t="inlineStr">
        <is>
          <t>最終残高</t>
        </is>
      </c>
      <c r="G32" s="4">
        <f>G29</f>
        <v/>
      </c>
    </row>
  </sheetData>
  <autoFilter ref="A1:H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4" customWidth="1" min="4" max="4"/>
    <col width="9.799999999999999" customWidth="1" min="5" max="5"/>
    <col width="9" customWidth="1" min="6" max="6"/>
    <col width="16.8" customWidth="1" min="7" max="7"/>
    <col width="28" customWidth="1" min="8" max="8"/>
    <col width="46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7" t="inlineStr">
        <is>
          <t>No</t>
        </is>
      </c>
      <c r="B1" s="7" t="inlineStr">
        <is>
          <t>区分</t>
        </is>
      </c>
      <c r="C1" s="7" t="inlineStr">
        <is>
          <t>販路</t>
        </is>
      </c>
      <c r="D1" s="7" t="inlineStr">
        <is>
          <t>購入日</t>
        </is>
      </c>
      <c r="E1" s="7" t="inlineStr">
        <is>
          <t>年月</t>
        </is>
      </c>
      <c r="F1" s="7" t="inlineStr">
        <is>
          <t>仕入サービス</t>
        </is>
      </c>
      <c r="G1" s="7" t="inlineStr">
        <is>
          <t>注文ID</t>
        </is>
      </c>
      <c r="H1" s="7" t="inlineStr">
        <is>
          <t>出品者</t>
        </is>
      </c>
      <c r="I1" s="7" t="inlineStr">
        <is>
          <t>商品名</t>
        </is>
      </c>
      <c r="J1" s="7" t="inlineStr">
        <is>
          <t>単価</t>
        </is>
      </c>
      <c r="K1" s="7" t="inlineStr">
        <is>
          <t>数量</t>
        </is>
      </c>
      <c r="L1" s="7" t="inlineStr">
        <is>
          <t>送料</t>
        </is>
      </c>
      <c r="M1" s="7" t="inlineStr">
        <is>
          <t>実支払額</t>
        </is>
      </c>
      <c r="N1" s="7" t="inlineStr">
        <is>
          <t>状態</t>
        </is>
      </c>
    </row>
    <row r="2">
      <c r="A2" s="8" t="inlineStr">
        <is>
          <t>1</t>
        </is>
      </c>
      <c r="B2" s="8" t="inlineStr">
        <is>
          <t>購入済在庫</t>
        </is>
      </c>
      <c r="C2" s="8" t="inlineStr">
        <is>
          <t>ebay</t>
        </is>
      </c>
      <c r="D2" s="8" t="inlineStr">
        <is>
          <t>2025-12-26</t>
        </is>
      </c>
      <c r="E2" s="8" t="inlineStr">
        <is>
          <t>2025-12</t>
        </is>
      </c>
      <c r="F2" s="8" t="inlineStr">
        <is>
          <t>メルカリ</t>
        </is>
      </c>
      <c r="G2" s="8" t="inlineStr">
        <is>
          <t>m15356289563</t>
        </is>
      </c>
      <c r="H2" s="8" t="inlineStr">
        <is>
          <t>キー</t>
        </is>
      </c>
      <c r="I2" s="8" t="inlineStr">
        <is>
          <t>彫刻刀</t>
        </is>
      </c>
      <c r="J2" s="9" t="n">
        <v>3000</v>
      </c>
      <c r="K2" s="9" t="n">
        <v>1</v>
      </c>
      <c r="L2" s="9" t="n">
        <v>0</v>
      </c>
      <c r="M2" s="9" t="n">
        <v>3000</v>
      </c>
      <c r="N2" s="8" t="inlineStr">
        <is>
          <t>発送通知</t>
        </is>
      </c>
    </row>
    <row r="3">
      <c r="A3" s="8" t="inlineStr">
        <is>
          <t>2</t>
        </is>
      </c>
      <c r="B3" s="8" t="inlineStr">
        <is>
          <t>購入済在庫</t>
        </is>
      </c>
      <c r="C3" s="8" t="inlineStr">
        <is>
          <t>ebay</t>
        </is>
      </c>
      <c r="D3" s="8" t="inlineStr">
        <is>
          <t>2026-01-27</t>
        </is>
      </c>
      <c r="E3" s="8" t="inlineStr">
        <is>
          <t>2026-01</t>
        </is>
      </c>
      <c r="F3" s="8" t="inlineStr">
        <is>
          <t>メルカリ</t>
        </is>
      </c>
      <c r="G3" s="8" t="inlineStr">
        <is>
          <t>m45460896122</t>
        </is>
      </c>
      <c r="H3" s="8" t="inlineStr">
        <is>
          <t>"TRY"古道具と暮らす</t>
        </is>
      </c>
      <c r="I3" s="8" t="inlineStr">
        <is>
          <t>ワ*ド様 ★【ジャンク品】甚五郎 彫刻刀 6本セット＋6本セット＋4本セット</t>
        </is>
      </c>
      <c r="J3" s="9" t="n">
        <v>400</v>
      </c>
      <c r="K3" s="9" t="n">
        <v>1</v>
      </c>
      <c r="L3" s="9" t="n">
        <v>0</v>
      </c>
      <c r="M3" s="9" t="n">
        <v>400</v>
      </c>
      <c r="N3" s="8" t="inlineStr">
        <is>
          <t>発送通知</t>
        </is>
      </c>
    </row>
    <row r="4">
      <c r="A4" s="8" t="inlineStr">
        <is>
          <t>3</t>
        </is>
      </c>
      <c r="B4" s="8" t="inlineStr">
        <is>
          <t>購入済在庫</t>
        </is>
      </c>
      <c r="C4" s="8" t="inlineStr">
        <is>
          <t>ebay</t>
        </is>
      </c>
      <c r="D4" s="8" t="inlineStr">
        <is>
          <t>2026-03-07</t>
        </is>
      </c>
      <c r="E4" s="8" t="inlineStr">
        <is>
          <t>2026-03</t>
        </is>
      </c>
      <c r="F4" s="8" t="inlineStr">
        <is>
          <t>メルカリ</t>
        </is>
      </c>
      <c r="G4" s="8" t="inlineStr">
        <is>
          <t>m99673032962</t>
        </is>
      </c>
      <c r="H4" s="8" t="inlineStr">
        <is>
          <t>yasu1981</t>
        </is>
      </c>
      <c r="I4" s="8" t="inlineStr">
        <is>
          <t>ドラゴンボールZ ゴールドメダル</t>
        </is>
      </c>
      <c r="J4" s="9" t="n">
        <v>1222</v>
      </c>
      <c r="K4" s="9" t="n">
        <v>1</v>
      </c>
      <c r="L4" s="9" t="n">
        <v>0</v>
      </c>
      <c r="M4" s="9" t="n">
        <v>1222</v>
      </c>
      <c r="N4" s="8" t="inlineStr">
        <is>
          <t>発送通知</t>
        </is>
      </c>
    </row>
    <row r="5">
      <c r="A5" s="8" t="inlineStr">
        <is>
          <t>4</t>
        </is>
      </c>
      <c r="B5" s="8" t="inlineStr">
        <is>
          <t>購入済在庫</t>
        </is>
      </c>
      <c r="C5" s="8" t="inlineStr">
        <is>
          <t>ebay</t>
        </is>
      </c>
      <c r="D5" s="8" t="inlineStr">
        <is>
          <t>2026-03-09</t>
        </is>
      </c>
      <c r="E5" s="8" t="inlineStr">
        <is>
          <t>2026-03</t>
        </is>
      </c>
      <c r="F5" s="8" t="inlineStr">
        <is>
          <t>メルカリ</t>
        </is>
      </c>
      <c r="G5" s="8" t="inlineStr">
        <is>
          <t>m30443791338</t>
        </is>
      </c>
      <c r="H5" s="8" t="inlineStr">
        <is>
          <t>たみネコ</t>
        </is>
      </c>
      <c r="I5" s="8" t="inlineStr">
        <is>
          <t>金沢マラソン2022フィニッシャーメダル</t>
        </is>
      </c>
      <c r="J5" s="9" t="n">
        <v>500</v>
      </c>
      <c r="K5" s="9" t="n">
        <v>1</v>
      </c>
      <c r="L5" s="9" t="n">
        <v>0</v>
      </c>
      <c r="M5" s="9" t="n">
        <v>500</v>
      </c>
      <c r="N5" s="8" t="inlineStr">
        <is>
          <t>発送通知</t>
        </is>
      </c>
    </row>
    <row r="6">
      <c r="A6" s="8" t="inlineStr">
        <is>
          <t>5</t>
        </is>
      </c>
      <c r="B6" s="8" t="inlineStr">
        <is>
          <t>購入済在庫</t>
        </is>
      </c>
      <c r="C6" s="8" t="inlineStr">
        <is>
          <t>ebay</t>
        </is>
      </c>
      <c r="D6" s="8" t="inlineStr">
        <is>
          <t>2026-03-09</t>
        </is>
      </c>
      <c r="E6" s="8" t="inlineStr">
        <is>
          <t>2026-03</t>
        </is>
      </c>
      <c r="F6" s="8" t="inlineStr">
        <is>
          <t>メルカリ</t>
        </is>
      </c>
      <c r="G6" s="8" t="inlineStr">
        <is>
          <t>m63174323197</t>
        </is>
      </c>
      <c r="H6" s="8" t="inlineStr">
        <is>
          <t>おかけん</t>
        </is>
      </c>
      <c r="I6" s="8" t="inlineStr">
        <is>
          <t>熊本城マラソン2025 完走メダル</t>
        </is>
      </c>
      <c r="J6" s="9" t="n">
        <v>478</v>
      </c>
      <c r="K6" s="9" t="n">
        <v>1</v>
      </c>
      <c r="L6" s="9" t="n">
        <v>0</v>
      </c>
      <c r="M6" s="9" t="n">
        <v>478</v>
      </c>
      <c r="N6" s="8" t="inlineStr">
        <is>
          <t>発送通知</t>
        </is>
      </c>
    </row>
    <row r="7">
      <c r="A7" s="8" t="inlineStr">
        <is>
          <t>6</t>
        </is>
      </c>
      <c r="B7" s="8" t="inlineStr">
        <is>
          <t>購入済在庫</t>
        </is>
      </c>
      <c r="C7" s="8" t="inlineStr">
        <is>
          <t>ebay</t>
        </is>
      </c>
      <c r="D7" s="8" t="inlineStr">
        <is>
          <t>2026-03-10</t>
        </is>
      </c>
      <c r="E7" s="8" t="inlineStr">
        <is>
          <t>2026-03</t>
        </is>
      </c>
      <c r="F7" s="8" t="inlineStr">
        <is>
          <t>メルカリ</t>
        </is>
      </c>
      <c r="G7" s="8" t="inlineStr">
        <is>
          <t>m15706748638</t>
        </is>
      </c>
      <c r="H7" s="8" t="inlineStr">
        <is>
          <t>ろん</t>
        </is>
      </c>
      <c r="I7" s="8" t="inlineStr">
        <is>
          <t>金沢マラソン2024 完走メダル</t>
        </is>
      </c>
      <c r="J7" s="9" t="n">
        <v>400</v>
      </c>
      <c r="K7" s="9" t="n">
        <v>1</v>
      </c>
      <c r="L7" s="9" t="n">
        <v>0</v>
      </c>
      <c r="M7" s="9" t="n">
        <v>400</v>
      </c>
      <c r="N7" s="8" t="inlineStr">
        <is>
          <t>発送通知</t>
        </is>
      </c>
    </row>
    <row r="8">
      <c r="A8" s="8" t="inlineStr">
        <is>
          <t>7</t>
        </is>
      </c>
      <c r="B8" s="8" t="inlineStr">
        <is>
          <t>購入済在庫</t>
        </is>
      </c>
      <c r="C8" s="8" t="inlineStr">
        <is>
          <t>ebay</t>
        </is>
      </c>
      <c r="D8" s="8" t="inlineStr">
        <is>
          <t>2026-03-10</t>
        </is>
      </c>
      <c r="E8" s="8" t="inlineStr">
        <is>
          <t>2026-03</t>
        </is>
      </c>
      <c r="F8" s="8" t="inlineStr">
        <is>
          <t>メルカリ</t>
        </is>
      </c>
      <c r="G8" s="8" t="inlineStr">
        <is>
          <t>m24580894354</t>
        </is>
      </c>
      <c r="H8" s="8" t="inlineStr">
        <is>
          <t>May1004</t>
        </is>
      </c>
      <c r="I8" s="8" t="inlineStr">
        <is>
          <t>大阪マラソン 2017完走メダル</t>
        </is>
      </c>
      <c r="J8" s="9" t="n">
        <v>350</v>
      </c>
      <c r="K8" s="9" t="n">
        <v>1</v>
      </c>
      <c r="L8" s="9" t="n">
        <v>0</v>
      </c>
      <c r="M8" s="9" t="n">
        <v>350</v>
      </c>
      <c r="N8" s="8" t="inlineStr">
        <is>
          <t>発送通知</t>
        </is>
      </c>
    </row>
    <row r="9">
      <c r="A9" s="8" t="inlineStr">
        <is>
          <t>8</t>
        </is>
      </c>
      <c r="B9" s="8" t="inlineStr">
        <is>
          <t>購入済在庫</t>
        </is>
      </c>
      <c r="C9" s="8" t="inlineStr">
        <is>
          <t>ebay</t>
        </is>
      </c>
      <c r="D9" s="8" t="inlineStr">
        <is>
          <t>2026-03-10</t>
        </is>
      </c>
      <c r="E9" s="8" t="inlineStr">
        <is>
          <t>2026-03</t>
        </is>
      </c>
      <c r="F9" s="8" t="inlineStr">
        <is>
          <t>メルカリ</t>
        </is>
      </c>
      <c r="G9" s="8" t="inlineStr">
        <is>
          <t>m61715197161</t>
        </is>
      </c>
      <c r="H9" s="8" t="inlineStr">
        <is>
          <t>ちっち</t>
        </is>
      </c>
      <c r="I9" s="8" t="inlineStr">
        <is>
          <t>JR西日本ポケモンスタンプラリー　記念メダル　ピカチュウ</t>
        </is>
      </c>
      <c r="J9" s="9" t="n">
        <v>300</v>
      </c>
      <c r="K9" s="9" t="n">
        <v>1</v>
      </c>
      <c r="L9" s="9" t="n">
        <v>0</v>
      </c>
      <c r="M9" s="9" t="n">
        <v>300</v>
      </c>
      <c r="N9" s="8" t="inlineStr">
        <is>
          <t>発送通知</t>
        </is>
      </c>
    </row>
    <row r="10">
      <c r="A10" s="8" t="inlineStr">
        <is>
          <t>9</t>
        </is>
      </c>
      <c r="B10" s="8" t="inlineStr">
        <is>
          <t>購入済在庫</t>
        </is>
      </c>
      <c r="C10" s="8" t="inlineStr">
        <is>
          <t>ebay</t>
        </is>
      </c>
      <c r="D10" s="8" t="inlineStr">
        <is>
          <t>2026-03-11</t>
        </is>
      </c>
      <c r="E10" s="8" t="inlineStr">
        <is>
          <t>2026-03</t>
        </is>
      </c>
      <c r="F10" s="8" t="inlineStr">
        <is>
          <t>メルカリ</t>
        </is>
      </c>
      <c r="G10" s="8" t="inlineStr">
        <is>
          <t>m77589539681</t>
        </is>
      </c>
      <c r="H10" s="8" t="inlineStr">
        <is>
          <t>おやまかー</t>
        </is>
      </c>
      <c r="I10" s="8" t="inlineStr">
        <is>
          <t>マラソンメダル色々</t>
        </is>
      </c>
      <c r="J10" s="9" t="n">
        <v>1500</v>
      </c>
      <c r="K10" s="9" t="n">
        <v>1</v>
      </c>
      <c r="L10" s="9" t="n">
        <v>0</v>
      </c>
      <c r="M10" s="9" t="n">
        <v>1500</v>
      </c>
      <c r="N10" s="8" t="inlineStr">
        <is>
          <t>発送通知</t>
        </is>
      </c>
    </row>
    <row r="11">
      <c r="A11" s="8" t="inlineStr">
        <is>
          <t>10</t>
        </is>
      </c>
      <c r="B11" s="8" t="inlineStr">
        <is>
          <t>購入済在庫</t>
        </is>
      </c>
      <c r="C11" s="8" t="inlineStr">
        <is>
          <t>ebay</t>
        </is>
      </c>
      <c r="D11" s="8" t="inlineStr">
        <is>
          <t>2026-03-11</t>
        </is>
      </c>
      <c r="E11" s="8" t="inlineStr">
        <is>
          <t>2026-03</t>
        </is>
      </c>
      <c r="F11" s="8" t="inlineStr">
        <is>
          <t>メルカリ</t>
        </is>
      </c>
      <c r="G11" s="8" t="inlineStr">
        <is>
          <t>m19774743652</t>
        </is>
      </c>
      <c r="H11" s="8" t="inlineStr">
        <is>
          <t>KSOY</t>
        </is>
      </c>
      <c r="I11" s="8" t="inlineStr">
        <is>
          <t>ワ*ド様 国宝松江城マラソン メダルセット 2022-2024</t>
        </is>
      </c>
      <c r="J11" s="9" t="n">
        <v>460</v>
      </c>
      <c r="K11" s="9" t="n">
        <v>1</v>
      </c>
      <c r="L11" s="9" t="n">
        <v>0</v>
      </c>
      <c r="M11" s="9" t="n">
        <v>460</v>
      </c>
      <c r="N11" s="8" t="inlineStr">
        <is>
          <t>発送通知</t>
        </is>
      </c>
    </row>
    <row r="12">
      <c r="A12" s="8" t="inlineStr">
        <is>
          <t>11</t>
        </is>
      </c>
      <c r="B12" s="8" t="inlineStr">
        <is>
          <t>購入済在庫</t>
        </is>
      </c>
      <c r="C12" s="8" t="inlineStr">
        <is>
          <t>ebay</t>
        </is>
      </c>
      <c r="D12" s="8" t="inlineStr">
        <is>
          <t>2026-03-11</t>
        </is>
      </c>
      <c r="E12" s="8" t="inlineStr">
        <is>
          <t>2026-03</t>
        </is>
      </c>
      <c r="F12" s="8" t="inlineStr">
        <is>
          <t>メルカリ</t>
        </is>
      </c>
      <c r="G12" s="8" t="inlineStr">
        <is>
          <t>m68607494955</t>
        </is>
      </c>
      <c r="H12" s="8" t="inlineStr">
        <is>
          <t>三興物販 SANKOホビーShop神奈川</t>
        </is>
      </c>
      <c r="I12" s="8" t="inlineStr">
        <is>
          <t>ワ*ド様 ホノルルマラソンFINISHERメダル 3種 内装ビニール未開封</t>
        </is>
      </c>
      <c r="J12" s="9" t="n">
        <v>400</v>
      </c>
      <c r="K12" s="9" t="n">
        <v>1</v>
      </c>
      <c r="L12" s="9" t="n">
        <v>0</v>
      </c>
      <c r="M12" s="9" t="n">
        <v>400</v>
      </c>
      <c r="N12" s="8" t="inlineStr">
        <is>
          <t>発送通知</t>
        </is>
      </c>
    </row>
    <row r="13">
      <c r="A13" s="8" t="inlineStr">
        <is>
          <t>12</t>
        </is>
      </c>
      <c r="B13" s="8" t="inlineStr">
        <is>
          <t>購入済在庫</t>
        </is>
      </c>
      <c r="C13" s="8" t="inlineStr">
        <is>
          <t>ebay</t>
        </is>
      </c>
      <c r="D13" s="8" t="inlineStr">
        <is>
          <t>2026-06-06</t>
        </is>
      </c>
      <c r="E13" s="8" t="inlineStr">
        <is>
          <t>2026-06</t>
        </is>
      </c>
      <c r="F13" s="8" t="inlineStr">
        <is>
          <t>メルカリ</t>
        </is>
      </c>
      <c r="G13" s="8" t="inlineStr">
        <is>
          <t>m91740280114</t>
        </is>
      </c>
      <c r="H13" s="8" t="inlineStr">
        <is>
          <t>ぶーすか</t>
        </is>
      </c>
      <c r="I13" s="8" t="inlineStr">
        <is>
          <t>彫刻刀</t>
        </is>
      </c>
      <c r="J13" s="9" t="n">
        <v>300</v>
      </c>
      <c r="K13" s="9" t="n">
        <v>1</v>
      </c>
      <c r="L13" s="9" t="n">
        <v>0</v>
      </c>
      <c r="M13" s="9" t="n">
        <v>300</v>
      </c>
      <c r="N13" s="8" t="inlineStr">
        <is>
          <t>発送通知</t>
        </is>
      </c>
    </row>
    <row r="14">
      <c r="A14" s="8" t="inlineStr">
        <is>
          <t>13</t>
        </is>
      </c>
      <c r="B14" s="8" t="inlineStr">
        <is>
          <t>購入済在庫</t>
        </is>
      </c>
      <c r="C14" s="8" t="inlineStr">
        <is>
          <t>ebay</t>
        </is>
      </c>
      <c r="D14" s="8" t="inlineStr">
        <is>
          <t>2026-06-06</t>
        </is>
      </c>
      <c r="E14" s="8" t="inlineStr">
        <is>
          <t>2026-06</t>
        </is>
      </c>
      <c r="F14" s="8" t="inlineStr">
        <is>
          <t>メルカリ</t>
        </is>
      </c>
      <c r="G14" s="8" t="inlineStr">
        <is>
          <t>m46011907198</t>
        </is>
      </c>
      <c r="H14" s="8" t="inlineStr">
        <is>
          <t>たいこ</t>
        </is>
      </c>
      <c r="I14" s="8" t="inlineStr">
        <is>
          <t>彫刻刀五本 秘剣 キクイチ</t>
        </is>
      </c>
      <c r="J14" s="9" t="n">
        <v>300</v>
      </c>
      <c r="K14" s="9" t="n">
        <v>1</v>
      </c>
      <c r="L14" s="9" t="n">
        <v>0</v>
      </c>
      <c r="M14" s="9" t="n">
        <v>300</v>
      </c>
      <c r="N14" s="8" t="inlineStr">
        <is>
          <t>発送通知</t>
        </is>
      </c>
    </row>
    <row r="15">
      <c r="A15" s="8" t="inlineStr">
        <is>
          <t>14</t>
        </is>
      </c>
      <c r="B15" s="8" t="inlineStr">
        <is>
          <t>購入済在庫</t>
        </is>
      </c>
      <c r="C15" s="8" t="inlineStr">
        <is>
          <t>ebay</t>
        </is>
      </c>
      <c r="D15" s="8" t="inlineStr">
        <is>
          <t>2026-06-07</t>
        </is>
      </c>
      <c r="E15" s="8" t="inlineStr">
        <is>
          <t>2026-06</t>
        </is>
      </c>
      <c r="F15" s="8" t="inlineStr">
        <is>
          <t>メルカリ</t>
        </is>
      </c>
      <c r="G15" s="8" t="inlineStr">
        <is>
          <t>m59232629132</t>
        </is>
      </c>
      <c r="H15" s="8" t="inlineStr">
        <is>
          <t>きりん</t>
        </is>
      </c>
      <c r="I15" s="8" t="inlineStr">
        <is>
          <t>よしはる彫刻刀セット 造形教育用 5本組</t>
        </is>
      </c>
      <c r="J15" s="9" t="n">
        <v>440</v>
      </c>
      <c r="K15" s="9" t="n">
        <v>1</v>
      </c>
      <c r="L15" s="9" t="n">
        <v>0</v>
      </c>
      <c r="M15" s="9" t="n">
        <v>440</v>
      </c>
      <c r="N15" s="8" t="inlineStr">
        <is>
          <t>発送通知</t>
        </is>
      </c>
    </row>
    <row r="16">
      <c r="A16" s="8" t="inlineStr">
        <is>
          <t>15</t>
        </is>
      </c>
      <c r="B16" s="8" t="inlineStr">
        <is>
          <t>購入済在庫</t>
        </is>
      </c>
      <c r="C16" s="8" t="inlineStr">
        <is>
          <t>ebay</t>
        </is>
      </c>
      <c r="D16" s="8" t="inlineStr">
        <is>
          <t>2026-06-08</t>
        </is>
      </c>
      <c r="E16" s="8" t="inlineStr">
        <is>
          <t>2026-06</t>
        </is>
      </c>
      <c r="F16" s="8" t="inlineStr">
        <is>
          <t>メルカリ</t>
        </is>
      </c>
      <c r="G16" s="8" t="inlineStr">
        <is>
          <t>m98730704440</t>
        </is>
      </c>
      <c r="H16" s="8" t="inlineStr">
        <is>
          <t>ゆっこ(^.^)✿全品低価格</t>
        </is>
      </c>
      <c r="I16" s="8" t="inlineStr">
        <is>
          <t>甚五郎 彫刻刀 8本セット 砥石付き</t>
        </is>
      </c>
      <c r="J16" s="9" t="n">
        <v>300</v>
      </c>
      <c r="K16" s="9" t="n">
        <v>1</v>
      </c>
      <c r="L16" s="9" t="n">
        <v>0</v>
      </c>
      <c r="M16" s="9" t="n">
        <v>300</v>
      </c>
      <c r="N16" s="8" t="inlineStr">
        <is>
          <t>発送通知</t>
        </is>
      </c>
    </row>
    <row r="17">
      <c r="A17" s="8" t="inlineStr">
        <is>
          <t>16</t>
        </is>
      </c>
      <c r="B17" s="8" t="inlineStr">
        <is>
          <t>購入済在庫</t>
        </is>
      </c>
      <c r="C17" s="8" t="inlineStr">
        <is>
          <t>ebay</t>
        </is>
      </c>
      <c r="D17" s="8" t="inlineStr">
        <is>
          <t>2026-06-08</t>
        </is>
      </c>
      <c r="E17" s="8" t="inlineStr">
        <is>
          <t>2026-06</t>
        </is>
      </c>
      <c r="F17" s="8" t="inlineStr">
        <is>
          <t>メルカリ</t>
        </is>
      </c>
      <c r="G17" s="8" t="inlineStr">
        <is>
          <t>m49115274467</t>
        </is>
      </c>
      <c r="H17" s="8" t="inlineStr">
        <is>
          <t>me☆</t>
        </is>
      </c>
      <c r="I17" s="8" t="inlineStr">
        <is>
          <t>彫刻刀セット 5本入り</t>
        </is>
      </c>
      <c r="J17" s="9" t="n">
        <v>300</v>
      </c>
      <c r="K17" s="9" t="n">
        <v>1</v>
      </c>
      <c r="L17" s="9" t="n">
        <v>0</v>
      </c>
      <c r="M17" s="9" t="n">
        <v>300</v>
      </c>
      <c r="N17" s="8" t="inlineStr">
        <is>
          <t>発送通知</t>
        </is>
      </c>
    </row>
    <row r="18">
      <c r="A18" s="8" t="inlineStr">
        <is>
          <t>17</t>
        </is>
      </c>
      <c r="B18" s="8" t="inlineStr">
        <is>
          <t>購入済在庫</t>
        </is>
      </c>
      <c r="C18" s="8" t="inlineStr">
        <is>
          <t>ebay</t>
        </is>
      </c>
      <c r="D18" s="8" t="inlineStr">
        <is>
          <t>2026-06-10</t>
        </is>
      </c>
      <c r="E18" s="8" t="inlineStr">
        <is>
          <t>2026-06</t>
        </is>
      </c>
      <c r="F18" s="8" t="inlineStr">
        <is>
          <t>メルカリ</t>
        </is>
      </c>
      <c r="G18" s="8" t="inlineStr">
        <is>
          <t>m95370295353</t>
        </is>
      </c>
      <c r="H18" s="8" t="inlineStr">
        <is>
          <t>柚葉</t>
        </is>
      </c>
      <c r="I18" s="8" t="inlineStr">
        <is>
          <t>トンボ印 彫刻刀 8本 日の丸 工具 文房具 版画 工作 図工 美術 用</t>
        </is>
      </c>
      <c r="J18" s="9" t="n">
        <v>320</v>
      </c>
      <c r="K18" s="9" t="n">
        <v>1</v>
      </c>
      <c r="L18" s="9" t="n">
        <v>0</v>
      </c>
      <c r="M18" s="9" t="n">
        <v>320</v>
      </c>
      <c r="N18" s="8" t="inlineStr">
        <is>
          <t>発送通知</t>
        </is>
      </c>
    </row>
    <row r="19">
      <c r="A19" s="8" t="inlineStr">
        <is>
          <t>18</t>
        </is>
      </c>
      <c r="B19" s="8" t="inlineStr">
        <is>
          <t>購入済在庫</t>
        </is>
      </c>
      <c r="C19" s="8" t="inlineStr">
        <is>
          <t>ebay</t>
        </is>
      </c>
      <c r="D19" s="8" t="inlineStr">
        <is>
          <t>2026-06-13</t>
        </is>
      </c>
      <c r="E19" s="8" t="inlineStr">
        <is>
          <t>2026-06</t>
        </is>
      </c>
      <c r="F19" s="8" t="inlineStr">
        <is>
          <t>メルカリ</t>
        </is>
      </c>
      <c r="G19" s="8" t="inlineStr">
        <is>
          <t>m72210451668</t>
        </is>
      </c>
      <c r="H19" s="8" t="inlineStr">
        <is>
          <t>あきあきあき</t>
        </is>
      </c>
      <c r="I19" s="8" t="inlineStr">
        <is>
          <t>彫刻刀</t>
        </is>
      </c>
      <c r="J19" s="9" t="n">
        <v>300</v>
      </c>
      <c r="K19" s="9" t="n">
        <v>1</v>
      </c>
      <c r="L19" s="9" t="n">
        <v>0</v>
      </c>
      <c r="M19" s="9" t="n">
        <v>300</v>
      </c>
      <c r="N19" s="8" t="inlineStr">
        <is>
          <t>発送通知</t>
        </is>
      </c>
    </row>
    <row r="20">
      <c r="A20" s="8" t="inlineStr">
        <is>
          <t>19</t>
        </is>
      </c>
      <c r="B20" s="8" t="inlineStr">
        <is>
          <t>購入済在庫</t>
        </is>
      </c>
      <c r="C20" s="8" t="inlineStr">
        <is>
          <t>ebay</t>
        </is>
      </c>
      <c r="D20" s="8" t="inlineStr">
        <is>
          <t>2026-06-26</t>
        </is>
      </c>
      <c r="E20" s="8" t="inlineStr">
        <is>
          <t>2026-06</t>
        </is>
      </c>
      <c r="F20" s="8" t="inlineStr">
        <is>
          <t>メルカリ</t>
        </is>
      </c>
      <c r="G20" s="8" t="inlineStr">
        <is>
          <t>m72937496683</t>
        </is>
      </c>
      <c r="H20" s="8" t="inlineStr">
        <is>
          <t>レン☆レン</t>
        </is>
      </c>
      <c r="I20" s="8" t="inlineStr">
        <is>
          <t>ロダンの彫刻刀 6本セット 木彫り</t>
        </is>
      </c>
      <c r="J20" s="9" t="n">
        <v>300</v>
      </c>
      <c r="K20" s="9" t="n">
        <v>1</v>
      </c>
      <c r="L20" s="9" t="n">
        <v>0</v>
      </c>
      <c r="M20" s="9" t="n">
        <v>300</v>
      </c>
      <c r="N20" s="8" t="inlineStr">
        <is>
          <t>発送通知</t>
        </is>
      </c>
    </row>
    <row r="21">
      <c r="A21" s="8" t="inlineStr">
        <is>
          <t>20</t>
        </is>
      </c>
      <c r="B21" s="8" t="inlineStr">
        <is>
          <t>購入済在庫</t>
        </is>
      </c>
      <c r="C21" s="8" t="inlineStr">
        <is>
          <t>ebay</t>
        </is>
      </c>
      <c r="D21" s="8" t="inlineStr">
        <is>
          <t>2026-06-27</t>
        </is>
      </c>
      <c r="E21" s="8" t="inlineStr">
        <is>
          <t>2026-06</t>
        </is>
      </c>
      <c r="F21" s="8" t="inlineStr">
        <is>
          <t>メルカリ</t>
        </is>
      </c>
      <c r="G21" s="8" t="inlineStr">
        <is>
          <t>m76240828523</t>
        </is>
      </c>
      <c r="H21" s="8" t="inlineStr">
        <is>
          <t>あんこもちもちピーナッツプリンアラモード</t>
        </is>
      </c>
      <c r="I21" s="8" t="inlineStr">
        <is>
          <t>よしはる彫刻刀 5本セット 砥石付き</t>
        </is>
      </c>
      <c r="J21" s="9" t="n">
        <v>300</v>
      </c>
      <c r="K21" s="9" t="n">
        <v>1</v>
      </c>
      <c r="L21" s="9" t="n">
        <v>0</v>
      </c>
      <c r="M21" s="9" t="n">
        <v>300</v>
      </c>
      <c r="N21" s="8" t="inlineStr">
        <is>
          <t>発送通知</t>
        </is>
      </c>
    </row>
  </sheetData>
  <autoFilter ref="A1:N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.2" customWidth="1" min="3" max="3"/>
    <col width="22.4" customWidth="1" min="4" max="4"/>
    <col width="9" customWidth="1" min="5" max="5"/>
    <col width="14" customWidth="1" min="6" max="6"/>
    <col width="18.2" customWidth="1" min="7" max="7"/>
  </cols>
  <sheetData>
    <row r="1">
      <c r="A1" s="7" t="inlineStr">
        <is>
          <t>No</t>
        </is>
      </c>
      <c r="B1" s="7" t="inlineStr">
        <is>
          <t>区分</t>
        </is>
      </c>
      <c r="C1" s="7" t="inlineStr">
        <is>
          <t>販路</t>
        </is>
      </c>
      <c r="D1" s="7" t="inlineStr">
        <is>
          <t>商品名</t>
        </is>
      </c>
      <c r="E1" s="7" t="inlineStr">
        <is>
          <t>仕入金額</t>
        </is>
      </c>
      <c r="F1" s="7" t="inlineStr">
        <is>
          <t>購入日</t>
        </is>
      </c>
      <c r="G1" s="7" t="inlineStr">
        <is>
          <t>備考</t>
        </is>
      </c>
    </row>
    <row r="2">
      <c r="A2" s="8" t="inlineStr">
        <is>
          <t>1</t>
        </is>
      </c>
      <c r="B2" s="8" t="inlineStr">
        <is>
          <t>返品在庫</t>
        </is>
      </c>
      <c r="C2" s="8" t="inlineStr">
        <is>
          <t>catawiki</t>
        </is>
      </c>
      <c r="D2" s="8" t="inlineStr">
        <is>
          <t>ポスター</t>
        </is>
      </c>
      <c r="E2" s="9" t="n">
        <v>1000</v>
      </c>
      <c r="F2" s="8" t="inlineStr"/>
      <c r="G2" s="8" t="inlineStr">
        <is>
          <t>購入日不明（数年前の在庫）</t>
        </is>
      </c>
    </row>
    <row r="3">
      <c r="A3" s="8" t="inlineStr">
        <is>
          <t>2</t>
        </is>
      </c>
      <c r="B3" s="8" t="inlineStr">
        <is>
          <t>返品在庫</t>
        </is>
      </c>
      <c r="C3" s="8" t="inlineStr">
        <is>
          <t>catawiki</t>
        </is>
      </c>
      <c r="D3" s="8" t="inlineStr">
        <is>
          <t>紋章大集成 正しい家紋5000種</t>
        </is>
      </c>
      <c r="E3" s="9" t="n">
        <v>1261</v>
      </c>
      <c r="F3" s="8" t="inlineStr">
        <is>
          <t>2026-06-26</t>
        </is>
      </c>
      <c r="G3" s="8" t="inlineStr"/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2026-08-27T09:52:45Z</dcterms:created>
  <dcterms:modified xsi:type="dcterms:W3CDTF">2026-08-27T09:52:45Z</dcterms:modified>
</cp:coreProperties>
</file>